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tonlee/Downloads/"/>
    </mc:Choice>
  </mc:AlternateContent>
  <xr:revisionPtr revIDLastSave="0" documentId="13_ncr:1_{96FA9E5E-2EB7-9A46-8DE4-1D05B23BD184}" xr6:coauthVersionLast="47" xr6:coauthVersionMax="47" xr10:uidLastSave="{00000000-0000-0000-0000-000000000000}"/>
  <bookViews>
    <workbookView xWindow="-10160" yWindow="-28180" windowWidth="51200" windowHeight="28180" xr2:uid="{9D88036A-098D-4CCA-9F8E-59E01D5E3A23}"/>
  </bookViews>
  <sheets>
    <sheet name="LBO" sheetId="3" r:id="rId1"/>
  </sheets>
  <externalReferences>
    <externalReference r:id="rId2"/>
  </externalReferences>
  <definedNames>
    <definedName name="CASE">[1]LBO!$E$7</definedName>
    <definedName name="CIRC">[1]LBO!$E$6</definedName>
    <definedName name="PIK">[1]LBO!$E$8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8" i="3" l="1"/>
  <c r="K50" i="3"/>
  <c r="L50" i="3"/>
  <c r="M50" i="3"/>
  <c r="N50" i="3"/>
  <c r="O50" i="3"/>
  <c r="J41" i="3"/>
  <c r="J42" i="3" s="1"/>
  <c r="J63" i="3"/>
  <c r="J59" i="3"/>
  <c r="J60" i="3" s="1"/>
  <c r="J56" i="3"/>
  <c r="J38" i="3"/>
  <c r="L36" i="3"/>
  <c r="M36" i="3"/>
  <c r="N36" i="3"/>
  <c r="O36" i="3"/>
  <c r="K36" i="3"/>
  <c r="J35" i="3"/>
  <c r="M27" i="3"/>
  <c r="N27" i="3" s="1"/>
  <c r="M23" i="3"/>
  <c r="F24" i="3"/>
  <c r="E24" i="3" s="1"/>
  <c r="J87" i="3" s="1"/>
  <c r="K84" i="3" s="1"/>
  <c r="F23" i="3"/>
  <c r="E23" i="3" s="1"/>
  <c r="J81" i="3" s="1"/>
  <c r="E11" i="3"/>
  <c r="O103" i="3" s="1"/>
  <c r="J39" i="3" l="1"/>
  <c r="K39" i="3" s="1"/>
  <c r="L39" i="3" s="1"/>
  <c r="J64" i="3"/>
  <c r="K35" i="3"/>
  <c r="K56" i="3" s="1"/>
  <c r="K68" i="3" s="1"/>
  <c r="E9" i="3"/>
  <c r="J57" i="3"/>
  <c r="M24" i="3"/>
  <c r="N24" i="3" s="1"/>
  <c r="K78" i="3"/>
  <c r="J93" i="3"/>
  <c r="F25" i="3"/>
  <c r="N23" i="3"/>
  <c r="K85" i="3"/>
  <c r="E25" i="3"/>
  <c r="B24" i="3"/>
  <c r="B23" i="3"/>
  <c r="K63" i="3" l="1"/>
  <c r="K69" i="3" s="1"/>
  <c r="L35" i="3"/>
  <c r="L38" i="3" s="1"/>
  <c r="K38" i="3"/>
  <c r="K41" i="3" s="1"/>
  <c r="K42" i="3" s="1"/>
  <c r="K59" i="3"/>
  <c r="K61" i="3" s="1"/>
  <c r="K70" i="3" s="1"/>
  <c r="M29" i="3"/>
  <c r="O24" i="3"/>
  <c r="N29" i="3"/>
  <c r="K90" i="3"/>
  <c r="K79" i="3"/>
  <c r="K91" i="3" s="1"/>
  <c r="K44" i="3" s="1"/>
  <c r="K46" i="3" s="1"/>
  <c r="M39" i="3"/>
  <c r="L59" i="3"/>
  <c r="L56" i="3"/>
  <c r="L68" i="3" s="1"/>
  <c r="L63" i="3"/>
  <c r="L69" i="3" s="1"/>
  <c r="M35" i="3"/>
  <c r="L61" i="3" l="1"/>
  <c r="L70" i="3" s="1"/>
  <c r="O29" i="3"/>
  <c r="E29" i="3"/>
  <c r="O23" i="3"/>
  <c r="O27" i="3"/>
  <c r="K49" i="3"/>
  <c r="K52" i="3" s="1"/>
  <c r="K47" i="3"/>
  <c r="N35" i="3"/>
  <c r="M56" i="3"/>
  <c r="M68" i="3" s="1"/>
  <c r="M63" i="3"/>
  <c r="M69" i="3" s="1"/>
  <c r="M59" i="3"/>
  <c r="M61" i="3" s="1"/>
  <c r="M70" i="3" s="1"/>
  <c r="L41" i="3"/>
  <c r="N39" i="3"/>
  <c r="M38" i="3"/>
  <c r="G25" i="3" l="1"/>
  <c r="E27" i="3"/>
  <c r="G23" i="3"/>
  <c r="F29" i="3"/>
  <c r="G29" i="3"/>
  <c r="G24" i="3"/>
  <c r="M41" i="3"/>
  <c r="K67" i="3"/>
  <c r="K71" i="3" s="1"/>
  <c r="K53" i="3"/>
  <c r="M42" i="3"/>
  <c r="O39" i="3"/>
  <c r="N38" i="3"/>
  <c r="L42" i="3"/>
  <c r="O35" i="3"/>
  <c r="N63" i="3"/>
  <c r="N69" i="3" s="1"/>
  <c r="N59" i="3"/>
  <c r="N61" i="3" s="1"/>
  <c r="N70" i="3" s="1"/>
  <c r="N56" i="3"/>
  <c r="N68" i="3" s="1"/>
  <c r="N41" i="3" l="1"/>
  <c r="F27" i="3"/>
  <c r="G27" i="3"/>
  <c r="K80" i="3"/>
  <c r="K81" i="3" s="1"/>
  <c r="L78" i="3" s="1"/>
  <c r="N42" i="3"/>
  <c r="O56" i="3"/>
  <c r="O68" i="3" s="1"/>
  <c r="O59" i="3"/>
  <c r="O61" i="3" s="1"/>
  <c r="O70" i="3" s="1"/>
  <c r="O63" i="3"/>
  <c r="O69" i="3" s="1"/>
  <c r="O38" i="3"/>
  <c r="O41" i="3" l="1"/>
  <c r="O97" i="3"/>
  <c r="O99" i="3" s="1"/>
  <c r="L79" i="3"/>
  <c r="K86" i="3"/>
  <c r="O42" i="3"/>
  <c r="K92" i="3" l="1"/>
  <c r="K87" i="3"/>
  <c r="L84" i="3" l="1"/>
  <c r="K93" i="3"/>
  <c r="L85" i="3" l="1"/>
  <c r="L91" i="3" s="1"/>
  <c r="L44" i="3" s="1"/>
  <c r="L46" i="3" s="1"/>
  <c r="L90" i="3"/>
  <c r="L49" i="3" l="1"/>
  <c r="L52" i="3" s="1"/>
  <c r="L47" i="3"/>
  <c r="L53" i="3" l="1"/>
  <c r="L67" i="3"/>
  <c r="L71" i="3" s="1"/>
  <c r="L80" i="3" l="1"/>
  <c r="L81" i="3" s="1"/>
  <c r="M78" i="3" s="1"/>
  <c r="L86" i="3" l="1"/>
  <c r="L87" i="3" s="1"/>
  <c r="M79" i="3"/>
  <c r="L92" i="3" l="1"/>
  <c r="L93" i="3"/>
  <c r="M84" i="3"/>
  <c r="M85" i="3" l="1"/>
  <c r="M91" i="3" s="1"/>
  <c r="M44" i="3" s="1"/>
  <c r="M46" i="3" s="1"/>
  <c r="M90" i="3"/>
  <c r="M47" i="3" l="1"/>
  <c r="M49" i="3"/>
  <c r="M52" i="3" s="1"/>
  <c r="M67" i="3" l="1"/>
  <c r="M71" i="3" s="1"/>
  <c r="M53" i="3"/>
  <c r="M80" i="3" l="1"/>
  <c r="M81" i="3" s="1"/>
  <c r="N78" i="3" s="1"/>
  <c r="M86" i="3" l="1"/>
  <c r="N79" i="3"/>
  <c r="M92" i="3" l="1"/>
  <c r="M87" i="3"/>
  <c r="N84" i="3" l="1"/>
  <c r="M93" i="3"/>
  <c r="N85" i="3" l="1"/>
  <c r="N91" i="3" s="1"/>
  <c r="N44" i="3" s="1"/>
  <c r="N46" i="3" s="1"/>
  <c r="N90" i="3"/>
  <c r="N47" i="3" l="1"/>
  <c r="N49" i="3"/>
  <c r="N52" i="3" s="1"/>
  <c r="N67" i="3" l="1"/>
  <c r="N71" i="3" s="1"/>
  <c r="N80" i="3" s="1"/>
  <c r="N53" i="3"/>
  <c r="N86" i="3" l="1"/>
  <c r="N81" i="3"/>
  <c r="O78" i="3" s="1"/>
  <c r="O79" i="3" l="1"/>
  <c r="N92" i="3"/>
  <c r="N87" i="3"/>
  <c r="O84" i="3" l="1"/>
  <c r="N93" i="3"/>
  <c r="O85" i="3" l="1"/>
  <c r="O91" i="3" s="1"/>
  <c r="O44" i="3" s="1"/>
  <c r="O46" i="3" s="1"/>
  <c r="O90" i="3"/>
  <c r="O49" i="3" l="1"/>
  <c r="O52" i="3" s="1"/>
  <c r="O47" i="3"/>
  <c r="O53" i="3" l="1"/>
  <c r="O67" i="3"/>
  <c r="O71" i="3" s="1"/>
  <c r="O80" i="3" s="1"/>
  <c r="O86" i="3" l="1"/>
  <c r="O92" i="3" s="1"/>
  <c r="O81" i="3"/>
  <c r="O87" i="3"/>
  <c r="O93" i="3" l="1"/>
  <c r="O100" i="3" s="1"/>
  <c r="O101" i="3" s="1"/>
  <c r="O105" i="3" s="1"/>
  <c r="O106" i="3" s="1"/>
  <c r="O1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Brenton Lee</author>
  </authors>
  <commentList>
    <comment ref="E9" authorId="0" shapeId="0" xr:uid="{43B82E2F-D312-3B46-8D64-7705512EC1C9}">
      <text>
        <r>
          <rPr>
            <sz val="10"/>
            <color rgb="FF000000"/>
            <rFont val="Tahoma"/>
            <family val="2"/>
          </rPr>
          <t xml:space="preserve">Equity value +Total Debt - cash
</t>
        </r>
        <r>
          <rPr>
            <sz val="10"/>
            <color rgb="FF000000"/>
            <rFont val="Tahoma"/>
            <family val="2"/>
          </rPr>
          <t xml:space="preserve">Equity value = 3220
</t>
        </r>
        <r>
          <rPr>
            <sz val="10"/>
            <color rgb="FF000000"/>
            <rFont val="Tahoma"/>
            <family val="2"/>
          </rPr>
          <t>Total debt =</t>
        </r>
        <r>
          <rPr>
            <sz val="10"/>
            <color rgb="FF000000"/>
            <rFont val="Calibri"/>
            <family val="2"/>
            <scheme val="minor"/>
          </rPr>
          <t xml:space="preserve">1,890.8
</t>
        </r>
        <r>
          <rPr>
            <sz val="10"/>
            <color rgb="FF000000"/>
            <rFont val="Tahoma"/>
            <family val="2"/>
          </rPr>
          <t>Cash = 87.3</t>
        </r>
      </text>
    </comment>
    <comment ref="E11" authorId="0" shapeId="0" xr:uid="{46D7AACF-6F25-EE46-BE00-0D7C9CA4E889}">
      <text>
        <r>
          <rPr>
            <sz val="10"/>
            <color rgb="FF000000"/>
            <rFont val="Tahoma"/>
            <family val="2"/>
          </rPr>
          <t xml:space="preserve">Share price at 2.95* </t>
        </r>
        <r>
          <rPr>
            <sz val="10"/>
            <color rgb="FF000000"/>
            <rFont val="Calibri"/>
            <family val="2"/>
            <scheme val="minor"/>
          </rPr>
          <t>1,091,553,766</t>
        </r>
        <r>
          <rPr>
            <sz val="10"/>
            <color rgb="FF000000"/>
            <rFont val="Calibri"/>
            <family val="2"/>
            <scheme val="minor"/>
          </rPr>
          <t xml:space="preserve"> ordinary shares</t>
        </r>
      </text>
    </comment>
    <comment ref="J12" authorId="0" shapeId="0" xr:uid="{0CB9339B-0BEF-634C-846B-4B1B92BFF1BC}">
      <text>
        <r>
          <rPr>
            <sz val="5"/>
            <color rgb="FF000000"/>
            <rFont val="Tahoma"/>
            <family val="2"/>
          </rPr>
          <t xml:space="preserve">NWC = Current assets - Current liabilities 
</t>
        </r>
        <r>
          <rPr>
            <sz val="5"/>
            <color rgb="FF000000"/>
            <rFont val="Tahoma"/>
            <family val="2"/>
          </rPr>
          <t xml:space="preserve">
</t>
        </r>
        <r>
          <rPr>
            <sz val="5"/>
            <color rgb="FF000000"/>
            <rFont val="Tahoma"/>
            <family val="2"/>
          </rPr>
          <t xml:space="preserve">Current assets = 3,777.7
</t>
        </r>
        <r>
          <rPr>
            <sz val="5"/>
            <color rgb="FF000000"/>
            <rFont val="Tahoma"/>
            <family val="2"/>
          </rPr>
          <t xml:space="preserve">
</t>
        </r>
        <r>
          <rPr>
            <sz val="5"/>
            <color rgb="FF000000"/>
            <rFont val="Tahoma"/>
            <family val="2"/>
          </rPr>
          <t xml:space="preserve">Current liabilites = 3634.6
</t>
        </r>
        <r>
          <rPr>
            <sz val="5"/>
            <color rgb="FF000000"/>
            <rFont val="Tahoma"/>
            <family val="2"/>
          </rPr>
          <t xml:space="preserve">
</t>
        </r>
        <r>
          <rPr>
            <sz val="5"/>
            <color rgb="FF000000"/>
            <rFont val="Tahoma"/>
            <family val="2"/>
          </rPr>
          <t>NWC = 3777.7-3634.6 = 143.1</t>
        </r>
      </text>
    </comment>
    <comment ref="J15" authorId="0" shapeId="0" xr:uid="{F94E8A74-64BC-B043-9B9C-D7667662B183}">
      <text>
        <r>
          <rPr>
            <sz val="10"/>
            <color rgb="FF000000"/>
            <rFont val="Tahoma"/>
            <family val="2"/>
          </rPr>
          <t>CAGR= (</t>
        </r>
        <r>
          <rPr>
            <sz val="10"/>
            <color rgb="FF000000"/>
            <rFont val="Calibri"/>
            <family val="2"/>
            <scheme val="minor"/>
          </rPr>
          <t>17,323,000/15,164,800</t>
        </r>
        <r>
          <rPr>
            <sz val="10"/>
            <color rgb="FF000000"/>
            <rFont val="Tahoma"/>
            <family val="2"/>
          </rPr>
          <t>)^(1/3) -1 ≈ 4.5%</t>
        </r>
      </text>
    </comment>
    <comment ref="J17" authorId="0" shapeId="0" xr:uid="{82C75DD7-22B7-334C-AFAB-3DE93D85A2A0}">
      <text>
        <r>
          <rPr>
            <sz val="10"/>
            <color rgb="FF000000"/>
            <rFont val="Tahoma"/>
            <family val="2"/>
          </rPr>
          <t>Coorporate tax rate is 30%, considering deductions and credits assume 25%</t>
        </r>
      </text>
    </comment>
  </commentList>
</comments>
</file>

<file path=xl/sharedStrings.xml><?xml version="1.0" encoding="utf-8"?>
<sst xmlns="http://schemas.openxmlformats.org/spreadsheetml/2006/main" count="137" uniqueCount="78">
  <si>
    <t>Assumptions</t>
  </si>
  <si>
    <t>Capital Structure</t>
  </si>
  <si>
    <t>Amount</t>
  </si>
  <si>
    <t>Cost</t>
  </si>
  <si>
    <t>Bank Debt</t>
  </si>
  <si>
    <t>Sr. Notes</t>
  </si>
  <si>
    <t>LTM Financials</t>
  </si>
  <si>
    <t>Existing Net Debt</t>
  </si>
  <si>
    <t>Revenue</t>
  </si>
  <si>
    <t>Operating Assumptions</t>
  </si>
  <si>
    <t>EBITDA</t>
  </si>
  <si>
    <t>Revenue Growth</t>
  </si>
  <si>
    <t>D&amp;A</t>
  </si>
  <si>
    <t>Fees &amp; Expenses</t>
  </si>
  <si>
    <t>YoY margin expansion</t>
  </si>
  <si>
    <t>Capex</t>
  </si>
  <si>
    <t>Tax Rate</t>
  </si>
  <si>
    <t>NWC</t>
  </si>
  <si>
    <t>LTM EBITDA</t>
  </si>
  <si>
    <t>Equity Value</t>
  </si>
  <si>
    <t>EBITDA Multiple</t>
  </si>
  <si>
    <t>Enterprise Value</t>
  </si>
  <si>
    <t>Exit ($MM)</t>
  </si>
  <si>
    <t>Financials</t>
  </si>
  <si>
    <t>Sources and Uses</t>
  </si>
  <si>
    <t>Sources</t>
  </si>
  <si>
    <t>Uses</t>
  </si>
  <si>
    <t>xEBITDA</t>
  </si>
  <si>
    <t>% Capital</t>
  </si>
  <si>
    <t>Total Debt</t>
  </si>
  <si>
    <t>Sponsor Equity</t>
  </si>
  <si>
    <t>Fees and Expenses</t>
  </si>
  <si>
    <t>Total Sources</t>
  </si>
  <si>
    <t>Total Uses</t>
  </si>
  <si>
    <t>Senior Notes</t>
  </si>
  <si>
    <t>Equity Payment</t>
  </si>
  <si>
    <t>Operating Model</t>
  </si>
  <si>
    <t>Year 0</t>
  </si>
  <si>
    <t>Year 1</t>
  </si>
  <si>
    <t>Year 2</t>
  </si>
  <si>
    <t>Year 3</t>
  </si>
  <si>
    <t>Year 4</t>
  </si>
  <si>
    <t>Year 5</t>
  </si>
  <si>
    <t xml:space="preserve">   % sales</t>
  </si>
  <si>
    <t>EBIT</t>
  </si>
  <si>
    <t>Interest</t>
  </si>
  <si>
    <t>EBT</t>
  </si>
  <si>
    <t>Taxes</t>
  </si>
  <si>
    <t xml:space="preserve">   % tax rate</t>
  </si>
  <si>
    <t>Net Income</t>
  </si>
  <si>
    <t>Net Working Capital</t>
  </si>
  <si>
    <t>Levered Cash Flow</t>
  </si>
  <si>
    <t>x</t>
  </si>
  <si>
    <t xml:space="preserve">   % growth</t>
  </si>
  <si>
    <t>Cash flow Items</t>
  </si>
  <si>
    <t>CapEx</t>
  </si>
  <si>
    <t>Change in NWC</t>
  </si>
  <si>
    <t>Change in Net Working Capital</t>
  </si>
  <si>
    <t>Debt Schedule</t>
  </si>
  <si>
    <t xml:space="preserve">   Interest</t>
  </si>
  <si>
    <t xml:space="preserve">   Paydown</t>
  </si>
  <si>
    <t xml:space="preserve">   Beginning Balance</t>
  </si>
  <si>
    <t xml:space="preserve">   Ending Balance</t>
  </si>
  <si>
    <t>IRR</t>
  </si>
  <si>
    <t>Exit Multiple</t>
  </si>
  <si>
    <t>Sponsor Equity Value</t>
  </si>
  <si>
    <t>Sponsor Equity at Entry</t>
  </si>
  <si>
    <t>MOIC</t>
  </si>
  <si>
    <t>Net Debt</t>
  </si>
  <si>
    <t>For Reference</t>
  </si>
  <si>
    <t>EBITDA at Exit</t>
  </si>
  <si>
    <t>Entry ($Millions AUD)</t>
  </si>
  <si>
    <t xml:space="preserve">Debt Retirement </t>
  </si>
  <si>
    <t>LBO of Metcash (ASX:MTS)</t>
  </si>
  <si>
    <t>Metrics</t>
  </si>
  <si>
    <t>Bull</t>
  </si>
  <si>
    <t>Base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</si>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</sst>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\x;&quot;NM&quot;_x"/>
    <numFmt numFmtId="165" formatCode="#,##0.0%_);\(#,##0.0%\)"/>
    <numFmt numFmtId="166" formatCode="#,##0_);\(#,##0\);\-_)"/>
    <numFmt numFmtId="167" formatCode="0_);\(0\)"/>
    <numFmt numFmtId="168" formatCode="0.0\x_)"/>
    <numFmt numFmtId="169" formatCode="0.0%_)"/>
    <numFmt numFmtId="176" formatCode="#,##0.0_);\(#,##0.0\);\-_)"/>
    <numFmt numFmtId="184" formatCode="0.00%_)"/>
  </numFmts>
  <fonts count="2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i/>
      <sz val="11"/>
      <color theme="1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8"/>
      <name val="Calibri"/>
      <family val="2"/>
    </font>
    <font>
      <i/>
      <sz val="11"/>
      <color rgb="FF7030A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7030A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4" fillId="0" borderId="1" xfId="0" applyFont="1" applyBorder="1"/>
    <xf numFmtId="166" fontId="6" fillId="0" borderId="0" xfId="0" applyNumberFormat="1" applyFont="1"/>
    <xf numFmtId="0" fontId="3" fillId="2" borderId="0" xfId="0" applyFont="1" applyFill="1" applyAlignment="1">
      <alignment horizontal="centerContinuous"/>
    </xf>
    <xf numFmtId="0" fontId="7" fillId="0" borderId="0" xfId="0" applyFont="1"/>
    <xf numFmtId="0" fontId="3" fillId="0" borderId="0" xfId="0" applyFont="1" applyAlignment="1">
      <alignment horizontal="centerContinuous"/>
    </xf>
    <xf numFmtId="0" fontId="1" fillId="3" borderId="0" xfId="0" applyFont="1" applyFill="1"/>
    <xf numFmtId="0" fontId="2" fillId="0" borderId="0" xfId="0" applyFont="1"/>
    <xf numFmtId="166" fontId="10" fillId="0" borderId="0" xfId="0" applyNumberFormat="1" applyFont="1"/>
    <xf numFmtId="0" fontId="0" fillId="0" borderId="0" xfId="0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5" fontId="13" fillId="0" borderId="0" xfId="0" applyNumberFormat="1" applyFont="1" applyAlignment="1">
      <alignment horizontal="right"/>
    </xf>
    <xf numFmtId="166" fontId="14" fillId="0" borderId="0" xfId="0" applyNumberFormat="1" applyFont="1"/>
    <xf numFmtId="0" fontId="0" fillId="0" borderId="0" xfId="0" applyAlignment="1">
      <alignment horizontal="right"/>
    </xf>
    <xf numFmtId="166" fontId="13" fillId="0" borderId="0" xfId="0" applyNumberFormat="1" applyFont="1"/>
    <xf numFmtId="167" fontId="13" fillId="5" borderId="6" xfId="0" applyNumberFormat="1" applyFont="1" applyFill="1" applyBorder="1"/>
    <xf numFmtId="168" fontId="13" fillId="5" borderId="6" xfId="0" applyNumberFormat="1" applyFont="1" applyFill="1" applyBorder="1"/>
    <xf numFmtId="167" fontId="13" fillId="5" borderId="5" xfId="0" applyNumberFormat="1" applyFont="1" applyFill="1" applyBorder="1"/>
    <xf numFmtId="169" fontId="13" fillId="5" borderId="5" xfId="0" applyNumberFormat="1" applyFont="1" applyFill="1" applyBorder="1"/>
    <xf numFmtId="168" fontId="13" fillId="5" borderId="5" xfId="0" applyNumberFormat="1" applyFont="1" applyFill="1" applyBorder="1"/>
    <xf numFmtId="165" fontId="0" fillId="0" borderId="0" xfId="0" applyNumberFormat="1"/>
    <xf numFmtId="164" fontId="0" fillId="0" borderId="0" xfId="0" applyNumberFormat="1"/>
    <xf numFmtId="166" fontId="6" fillId="0" borderId="1" xfId="0" applyNumberFormat="1" applyFont="1" applyBorder="1"/>
    <xf numFmtId="164" fontId="12" fillId="0" borderId="0" xfId="0" applyNumberFormat="1" applyFont="1"/>
    <xf numFmtId="166" fontId="8" fillId="0" borderId="0" xfId="0" applyNumberFormat="1" applyFont="1"/>
    <xf numFmtId="37" fontId="12" fillId="0" borderId="0" xfId="0" applyNumberFormat="1" applyFont="1"/>
    <xf numFmtId="164" fontId="2" fillId="0" borderId="0" xfId="0" applyNumberFormat="1" applyFont="1"/>
    <xf numFmtId="164" fontId="12" fillId="0" borderId="1" xfId="0" applyNumberFormat="1" applyFont="1" applyBorder="1"/>
    <xf numFmtId="0" fontId="2" fillId="4" borderId="2" xfId="0" applyFont="1" applyFill="1" applyBorder="1"/>
    <xf numFmtId="0" fontId="2" fillId="4" borderId="3" xfId="0" applyFont="1" applyFill="1" applyBorder="1"/>
    <xf numFmtId="166" fontId="10" fillId="4" borderId="3" xfId="0" applyNumberFormat="1" applyFont="1" applyFill="1" applyBorder="1"/>
    <xf numFmtId="168" fontId="2" fillId="4" borderId="3" xfId="0" applyNumberFormat="1" applyFont="1" applyFill="1" applyBorder="1"/>
    <xf numFmtId="165" fontId="2" fillId="4" borderId="4" xfId="0" applyNumberFormat="1" applyFont="1" applyFill="1" applyBorder="1"/>
    <xf numFmtId="166" fontId="0" fillId="0" borderId="0" xfId="0" applyNumberFormat="1"/>
    <xf numFmtId="165" fontId="15" fillId="0" borderId="0" xfId="0" applyNumberFormat="1" applyFont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8" fontId="12" fillId="0" borderId="0" xfId="0" applyNumberFormat="1" applyFont="1"/>
    <xf numFmtId="169" fontId="16" fillId="0" borderId="0" xfId="0" applyNumberFormat="1" applyFont="1"/>
    <xf numFmtId="169" fontId="17" fillId="0" borderId="0" xfId="0" applyNumberFormat="1" applyFont="1"/>
    <xf numFmtId="166" fontId="9" fillId="0" borderId="0" xfId="0" applyNumberFormat="1" applyFont="1"/>
    <xf numFmtId="166" fontId="8" fillId="0" borderId="7" xfId="0" applyNumberFormat="1" applyFont="1" applyBorder="1"/>
    <xf numFmtId="0" fontId="0" fillId="0" borderId="7" xfId="0" applyBorder="1"/>
    <xf numFmtId="169" fontId="17" fillId="0" borderId="7" xfId="0" applyNumberFormat="1" applyFont="1" applyBorder="1"/>
    <xf numFmtId="166" fontId="9" fillId="0" borderId="7" xfId="0" applyNumberFormat="1" applyFont="1" applyBorder="1"/>
    <xf numFmtId="166" fontId="0" fillId="0" borderId="7" xfId="0" applyNumberFormat="1" applyBorder="1"/>
    <xf numFmtId="169" fontId="16" fillId="0" borderId="7" xfId="0" applyNumberFormat="1" applyFont="1" applyBorder="1"/>
    <xf numFmtId="166" fontId="6" fillId="0" borderId="7" xfId="0" applyNumberFormat="1" applyFont="1" applyBorder="1"/>
    <xf numFmtId="165" fontId="7" fillId="0" borderId="7" xfId="0" applyNumberFormat="1" applyFont="1" applyBorder="1"/>
    <xf numFmtId="0" fontId="0" fillId="0" borderId="8" xfId="0" applyBorder="1"/>
    <xf numFmtId="166" fontId="2" fillId="0" borderId="0" xfId="0" applyNumberFormat="1" applyFont="1"/>
    <xf numFmtId="166" fontId="12" fillId="0" borderId="0" xfId="0" applyNumberFormat="1" applyFont="1"/>
    <xf numFmtId="166" fontId="12" fillId="0" borderId="1" xfId="0" applyNumberFormat="1" applyFont="1" applyBorder="1"/>
    <xf numFmtId="0" fontId="2" fillId="4" borderId="4" xfId="0" applyFont="1" applyFill="1" applyBorder="1"/>
    <xf numFmtId="166" fontId="2" fillId="4" borderId="3" xfId="0" applyNumberFormat="1" applyFont="1" applyFill="1" applyBorder="1"/>
    <xf numFmtId="166" fontId="2" fillId="4" borderId="4" xfId="0" applyNumberFormat="1" applyFont="1" applyFill="1" applyBorder="1"/>
    <xf numFmtId="166" fontId="18" fillId="0" borderId="7" xfId="0" applyNumberFormat="1" applyFont="1" applyBorder="1"/>
    <xf numFmtId="37" fontId="0" fillId="0" borderId="1" xfId="0" applyNumberFormat="1" applyBorder="1"/>
    <xf numFmtId="166" fontId="8" fillId="0" borderId="1" xfId="0" applyNumberFormat="1" applyFont="1" applyBorder="1"/>
    <xf numFmtId="168" fontId="8" fillId="0" borderId="1" xfId="0" applyNumberFormat="1" applyFont="1" applyBorder="1"/>
    <xf numFmtId="0" fontId="5" fillId="4" borderId="10" xfId="0" applyFont="1" applyFill="1" applyBorder="1"/>
    <xf numFmtId="0" fontId="5" fillId="4" borderId="11" xfId="0" applyFont="1" applyFill="1" applyBorder="1"/>
    <xf numFmtId="164" fontId="5" fillId="4" borderId="12" xfId="0" applyNumberFormat="1" applyFont="1" applyFill="1" applyBorder="1"/>
    <xf numFmtId="0" fontId="5" fillId="4" borderId="9" xfId="0" applyFont="1" applyFill="1" applyBorder="1"/>
    <xf numFmtId="0" fontId="5" fillId="4" borderId="1" xfId="0" applyFont="1" applyFill="1" applyBorder="1"/>
    <xf numFmtId="165" fontId="5" fillId="4" borderId="8" xfId="0" applyNumberFormat="1" applyFont="1" applyFill="1" applyBorder="1"/>
    <xf numFmtId="165" fontId="12" fillId="0" borderId="0" xfId="0" applyNumberFormat="1" applyFont="1"/>
    <xf numFmtId="166" fontId="12" fillId="5" borderId="0" xfId="0" applyNumberFormat="1" applyFont="1" applyFill="1"/>
    <xf numFmtId="0" fontId="19" fillId="0" borderId="7" xfId="0" applyFont="1" applyBorder="1"/>
    <xf numFmtId="0" fontId="19" fillId="0" borderId="8" xfId="0" applyFont="1" applyBorder="1"/>
    <xf numFmtId="37" fontId="19" fillId="0" borderId="1" xfId="0" applyNumberFormat="1" applyFont="1" applyBorder="1"/>
    <xf numFmtId="166" fontId="20" fillId="0" borderId="7" xfId="0" applyNumberFormat="1" applyFont="1" applyBorder="1"/>
    <xf numFmtId="167" fontId="6" fillId="0" borderId="0" xfId="0" applyNumberFormat="1" applyFont="1"/>
    <xf numFmtId="164" fontId="10" fillId="4" borderId="3" xfId="0" applyNumberFormat="1" applyFont="1" applyFill="1" applyBorder="1"/>
    <xf numFmtId="165" fontId="0" fillId="0" borderId="0" xfId="0" applyNumberFormat="1" applyBorder="1"/>
    <xf numFmtId="176" fontId="8" fillId="0" borderId="7" xfId="0" applyNumberFormat="1" applyFont="1" applyBorder="1"/>
    <xf numFmtId="166" fontId="12" fillId="0" borderId="0" xfId="0" applyNumberFormat="1" applyFont="1" applyFill="1"/>
    <xf numFmtId="184" fontId="13" fillId="5" borderId="5" xfId="0" applyNumberFormat="1" applyFont="1" applyFill="1" applyBorder="1"/>
  </cellXfs>
  <cellStyles count="2">
    <cellStyle name="Hyperlink 2" xfId="1" xr:uid="{22824541-EAD9-1F4E-8E56-EC65374A281B}"/>
    <cellStyle name="Normal" xfId="0" builtinId="0"/>
  </cellStyles>
  <dxfs count="1">
    <dxf>
      <numFmt numFmtId="165" formatCode="#,##0.0%_);\(#,##0.0%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en/Desktop/rareliquid/Excels/2024.0.13%20-%20Burger%20King%20LBO%20Stream%20-%20Part%202%20-%20vSTREAM.xlsx" TargetMode="External"/><Relationship Id="rId1" Type="http://schemas.openxmlformats.org/officeDocument/2006/relationships/externalLinkPath" Target="/Users/ben/Desktop/rareliquid/Excels/2024.0.13%20-%20Burger%20King%20LBO%20Stream%20-%20Part%202%20-%20vSTRE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>
        <row r="6">
          <cell r="E6" t="str">
            <v>OFF</v>
          </cell>
        </row>
        <row r="7">
          <cell r="E7">
            <v>2</v>
          </cell>
        </row>
        <row r="8">
          <cell r="E8">
            <v>2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98800A-F19D-0649-A2E0-76DFB31A988E}" name="Table5" displayName="Table5" ref="L14:O16" totalsRowShown="0">
  <autoFilter ref="L14:O16" xr:uid="{F498800A-F19D-0649-A2E0-76DFB31A988E}">
    <filterColumn colId="0" hiddenButton="1"/>
    <filterColumn colId="1" hiddenButton="1"/>
    <filterColumn colId="2" hiddenButton="1"/>
    <filterColumn colId="3" hiddenButton="1"/>
  </autoFilter>
  <tableColumns count="4">
    <tableColumn id="1" xr3:uid="{7650AD07-B203-D846-92F0-3EEF03EBBC88}" name="Metrics"/>
    <tableColumn id="2" xr3:uid="{57AC0F2F-1513-F04F-B8E8-4622829DCF48}" name="Bull"/>
    <tableColumn id="3" xr3:uid="{4085994E-0775-EF4A-BE77-E11E64F0D468}" name="Base" dataDxfId="0">
      <calculatedColumnFormula>O10</calculatedColumnFormula>
    </tableColumn>
    <tableColumn id="4" xr3:uid="{C14FE6B4-3CC4-FF42-AE4F-DD3D131157F6}" name="B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5621-F4A8-40E0-BD7C-E3B2A6B41CD4}">
  <dimension ref="A2:P106"/>
  <sheetViews>
    <sheetView showGridLines="0" tabSelected="1" zoomScale="207" zoomScaleNormal="100" workbookViewId="0">
      <selection activeCell="S13" sqref="S13"/>
    </sheetView>
  </sheetViews>
  <sheetFormatPr baseColWidth="10" defaultColWidth="8.83203125" defaultRowHeight="15"/>
  <cols>
    <col min="1" max="1" width="3.6640625" style="10" customWidth="1"/>
    <col min="5" max="5" width="9.6640625" bestFit="1" customWidth="1"/>
    <col min="7" max="7" width="11" bestFit="1" customWidth="1"/>
  </cols>
  <sheetData>
    <row r="2" spans="1:15" s="1" customFormat="1" ht="21">
      <c r="A2" s="41"/>
      <c r="B2" s="2" t="s">
        <v>73</v>
      </c>
    </row>
    <row r="4" spans="1:15">
      <c r="A4" s="10" t="s">
        <v>52</v>
      </c>
      <c r="B4" s="1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5" customHeight="1">
      <c r="B5" s="1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>
      <c r="B6" s="7" t="s">
        <v>71</v>
      </c>
      <c r="C6" s="7"/>
      <c r="D6" s="7"/>
      <c r="E6" s="7"/>
      <c r="G6" s="7" t="s">
        <v>23</v>
      </c>
      <c r="H6" s="7"/>
      <c r="I6" s="7"/>
      <c r="J6" s="13"/>
      <c r="L6" s="7" t="s">
        <v>1</v>
      </c>
      <c r="M6" s="7"/>
      <c r="N6" s="13" t="s">
        <v>2</v>
      </c>
      <c r="O6" s="13" t="s">
        <v>3</v>
      </c>
    </row>
    <row r="7" spans="1:15">
      <c r="B7" t="s">
        <v>18</v>
      </c>
      <c r="E7" s="30">
        <v>748</v>
      </c>
      <c r="G7" s="11" t="s">
        <v>6</v>
      </c>
      <c r="L7" t="s">
        <v>4</v>
      </c>
      <c r="N7" s="24">
        <v>3</v>
      </c>
      <c r="O7" s="23">
        <v>7.0000000000000007E-2</v>
      </c>
    </row>
    <row r="8" spans="1:15">
      <c r="B8" s="1" t="s">
        <v>20</v>
      </c>
      <c r="C8" s="1"/>
      <c r="D8" s="1"/>
      <c r="E8" s="21">
        <v>10</v>
      </c>
      <c r="G8" t="s">
        <v>8</v>
      </c>
      <c r="J8" s="22">
        <v>17323</v>
      </c>
      <c r="L8" t="s">
        <v>34</v>
      </c>
      <c r="N8" s="24">
        <v>1</v>
      </c>
      <c r="O8" s="23">
        <v>0.1</v>
      </c>
    </row>
    <row r="9" spans="1:15">
      <c r="B9" s="8" t="s">
        <v>21</v>
      </c>
      <c r="C9" s="8"/>
      <c r="D9" s="8"/>
      <c r="E9" s="17">
        <f>E11+1890.8-87.3</f>
        <v>5023.5836097000001</v>
      </c>
      <c r="G9" t="s">
        <v>10</v>
      </c>
      <c r="J9" s="22">
        <v>747.8</v>
      </c>
      <c r="K9" s="16"/>
    </row>
    <row r="10" spans="1:15">
      <c r="B10" s="1" t="s">
        <v>7</v>
      </c>
      <c r="C10" s="1"/>
      <c r="D10" s="1"/>
      <c r="E10" s="20">
        <v>577.4</v>
      </c>
      <c r="G10" t="s">
        <v>12</v>
      </c>
      <c r="J10" s="22">
        <v>240</v>
      </c>
      <c r="L10" s="7" t="s">
        <v>69</v>
      </c>
      <c r="M10" s="7"/>
      <c r="N10" s="13"/>
      <c r="O10" s="13"/>
    </row>
    <row r="11" spans="1:15">
      <c r="B11" s="8" t="s">
        <v>19</v>
      </c>
      <c r="C11" s="8"/>
      <c r="D11" s="8"/>
      <c r="E11" s="17">
        <f>(2.95*1091553.766)/1000</f>
        <v>3220.0836097000006</v>
      </c>
      <c r="G11" t="s">
        <v>15</v>
      </c>
      <c r="J11" s="22">
        <v>148.5</v>
      </c>
      <c r="L11" t="s">
        <v>63</v>
      </c>
      <c r="O11" s="71">
        <f>O106</f>
        <v>0.10938198946952471</v>
      </c>
    </row>
    <row r="12" spans="1:15">
      <c r="G12" t="s">
        <v>17</v>
      </c>
      <c r="J12" s="22">
        <v>143.1</v>
      </c>
    </row>
    <row r="13" spans="1:15">
      <c r="B13" t="s">
        <v>13</v>
      </c>
      <c r="E13" s="22">
        <v>50</v>
      </c>
    </row>
    <row r="14" spans="1:15">
      <c r="E14" s="19"/>
      <c r="G14" s="11" t="s">
        <v>9</v>
      </c>
      <c r="L14" t="s">
        <v>74</v>
      </c>
      <c r="M14" t="s">
        <v>75</v>
      </c>
      <c r="N14" t="s">
        <v>76</v>
      </c>
      <c r="O14" t="s">
        <v>77</v>
      </c>
    </row>
    <row r="15" spans="1:15">
      <c r="B15" s="7" t="s">
        <v>22</v>
      </c>
      <c r="C15" s="7"/>
      <c r="D15" s="7"/>
      <c r="E15" s="7"/>
      <c r="G15" t="s">
        <v>11</v>
      </c>
      <c r="J15" s="23">
        <v>0.02</v>
      </c>
      <c r="L15" t="s">
        <v>67</v>
      </c>
      <c r="M15" s="26">
        <v>3.3</v>
      </c>
      <c r="N15" s="26">
        <v>2.7</v>
      </c>
      <c r="O15" s="26">
        <v>1.7</v>
      </c>
    </row>
    <row r="16" spans="1:15">
      <c r="B16" t="s">
        <v>20</v>
      </c>
      <c r="E16" s="42">
        <v>8</v>
      </c>
      <c r="G16" t="s">
        <v>14</v>
      </c>
      <c r="J16" s="82">
        <v>0</v>
      </c>
      <c r="L16" t="s">
        <v>63</v>
      </c>
      <c r="M16" s="25">
        <v>0.26700000000000002</v>
      </c>
      <c r="N16" s="25">
        <v>0.22</v>
      </c>
      <c r="O16" s="25">
        <v>0.109</v>
      </c>
    </row>
    <row r="17" spans="1:15">
      <c r="G17" t="s">
        <v>16</v>
      </c>
      <c r="J17" s="23">
        <v>0.25</v>
      </c>
    </row>
    <row r="18" spans="1:15">
      <c r="J18" s="18"/>
    </row>
    <row r="19" spans="1:15">
      <c r="A19" s="10" t="s">
        <v>52</v>
      </c>
      <c r="B19" s="14" t="s">
        <v>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5" customHeight="1">
      <c r="J20" s="18"/>
    </row>
    <row r="21" spans="1:15">
      <c r="B21" s="7" t="s">
        <v>25</v>
      </c>
      <c r="C21" s="7"/>
      <c r="D21" s="7"/>
      <c r="E21" s="7"/>
      <c r="F21" s="7"/>
      <c r="G21" s="7"/>
      <c r="J21" s="7" t="s">
        <v>26</v>
      </c>
      <c r="K21" s="7"/>
      <c r="L21" s="7"/>
      <c r="M21" s="7"/>
      <c r="N21" s="7"/>
      <c r="O21" s="7"/>
    </row>
    <row r="22" spans="1:15">
      <c r="E22" s="12" t="s">
        <v>2</v>
      </c>
      <c r="F22" s="12" t="s">
        <v>27</v>
      </c>
      <c r="G22" s="12" t="s">
        <v>28</v>
      </c>
      <c r="M22" s="12" t="s">
        <v>2</v>
      </c>
      <c r="N22" s="12" t="s">
        <v>27</v>
      </c>
      <c r="O22" s="12" t="s">
        <v>28</v>
      </c>
    </row>
    <row r="23" spans="1:15">
      <c r="B23" t="str">
        <f>L7</f>
        <v>Bank Debt</v>
      </c>
      <c r="E23" s="3">
        <f>F23*J9</f>
        <v>2243.3999999999996</v>
      </c>
      <c r="F23" s="28">
        <f>N7</f>
        <v>3</v>
      </c>
      <c r="G23" s="25">
        <f>E23/E29</f>
        <v>0.58308240595076222</v>
      </c>
      <c r="J23" t="s">
        <v>72</v>
      </c>
      <c r="M23" s="29">
        <f>E10</f>
        <v>577.4</v>
      </c>
      <c r="N23" s="26">
        <f>M23/$J9</f>
        <v>0.77213158598555764</v>
      </c>
      <c r="O23" s="25">
        <f>M23/$M$29</f>
        <v>0.15007211428901227</v>
      </c>
    </row>
    <row r="24" spans="1:15">
      <c r="B24" s="1" t="str">
        <f>L8</f>
        <v>Senior Notes</v>
      </c>
      <c r="C24" s="27"/>
      <c r="D24" s="27"/>
      <c r="E24" s="27">
        <f>F24*J9</f>
        <v>747.8</v>
      </c>
      <c r="F24" s="32">
        <f>N8</f>
        <v>1</v>
      </c>
      <c r="G24" s="79">
        <f>E24/$E$29</f>
        <v>0.19436080198358741</v>
      </c>
      <c r="J24" t="s">
        <v>35</v>
      </c>
      <c r="M24" s="29">
        <f>E11</f>
        <v>3220.0836097000006</v>
      </c>
      <c r="N24" s="26">
        <f>M24/$J9</f>
        <v>4.3060759691093882</v>
      </c>
      <c r="O24" s="25">
        <f>M24/$M$29</f>
        <v>0.83693237875835413</v>
      </c>
    </row>
    <row r="25" spans="1:15">
      <c r="B25" s="8" t="s">
        <v>29</v>
      </c>
      <c r="C25" s="8"/>
      <c r="D25" s="8"/>
      <c r="E25" s="9">
        <f>SUM(E23:E24)</f>
        <v>2991.2</v>
      </c>
      <c r="F25" s="31">
        <f>SUM(F23:F24)</f>
        <v>4</v>
      </c>
      <c r="G25" s="79">
        <f>E25/E29</f>
        <v>0.77744320793434962</v>
      </c>
      <c r="M25" s="3"/>
      <c r="O25" s="25"/>
    </row>
    <row r="26" spans="1:15">
      <c r="M26" s="29"/>
      <c r="N26" s="26"/>
      <c r="O26" s="25"/>
    </row>
    <row r="27" spans="1:15">
      <c r="B27" t="s">
        <v>30</v>
      </c>
      <c r="E27" s="3">
        <f>E29-E25</f>
        <v>856.28360970000085</v>
      </c>
      <c r="F27" s="26">
        <f>E27/J9</f>
        <v>1.1450703526343955</v>
      </c>
      <c r="G27" s="25">
        <f>E27/E29</f>
        <v>0.22255679206565035</v>
      </c>
      <c r="J27" t="s">
        <v>31</v>
      </c>
      <c r="M27" s="77">
        <f>E13</f>
        <v>50</v>
      </c>
      <c r="N27" s="26">
        <f>M27/J9</f>
        <v>6.6862797539449056E-2</v>
      </c>
      <c r="O27" s="25">
        <f>M27/$M$29</f>
        <v>1.2995506952633554E-2</v>
      </c>
    </row>
    <row r="28" spans="1:15">
      <c r="E28" s="3"/>
      <c r="F28" s="26"/>
      <c r="G28" s="25"/>
      <c r="M28" s="3"/>
      <c r="N28" s="26"/>
      <c r="O28" s="25"/>
    </row>
    <row r="29" spans="1:15">
      <c r="B29" s="33" t="s">
        <v>32</v>
      </c>
      <c r="C29" s="34"/>
      <c r="D29" s="34"/>
      <c r="E29" s="35">
        <f>M29</f>
        <v>3847.4836097000007</v>
      </c>
      <c r="F29" s="36">
        <f>E29/J9</f>
        <v>5.1450703526343951</v>
      </c>
      <c r="G29" s="37">
        <f>E29/E29</f>
        <v>1</v>
      </c>
      <c r="J29" s="33" t="s">
        <v>33</v>
      </c>
      <c r="K29" s="34"/>
      <c r="L29" s="34"/>
      <c r="M29" s="35">
        <f>SUM(M23:M28)</f>
        <v>3847.4836097000007</v>
      </c>
      <c r="N29" s="78">
        <f>N23+N24+N27</f>
        <v>5.1450703526343951</v>
      </c>
      <c r="O29" s="37">
        <f>M29/$M$29</f>
        <v>1</v>
      </c>
    </row>
    <row r="30" spans="1:15">
      <c r="E30" s="3"/>
      <c r="F30" s="26"/>
      <c r="G30" s="25"/>
      <c r="L30" s="3"/>
      <c r="M30" s="26"/>
      <c r="N30" s="25"/>
    </row>
    <row r="32" spans="1:15" collapsed="1">
      <c r="A32" s="10" t="s">
        <v>52</v>
      </c>
      <c r="B32" s="14" t="s">
        <v>23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6" ht="3" customHeight="1"/>
    <row r="34" spans="2:16">
      <c r="B34" s="7" t="s">
        <v>36</v>
      </c>
      <c r="C34" s="7"/>
      <c r="D34" s="7"/>
      <c r="E34" s="7"/>
      <c r="F34" s="7"/>
      <c r="G34" s="7"/>
      <c r="H34" s="7"/>
      <c r="I34" s="7"/>
      <c r="J34" s="13" t="s">
        <v>37</v>
      </c>
      <c r="K34" s="13" t="s">
        <v>38</v>
      </c>
      <c r="L34" s="13" t="s">
        <v>39</v>
      </c>
      <c r="M34" s="13" t="s">
        <v>40</v>
      </c>
      <c r="N34" s="13" t="s">
        <v>41</v>
      </c>
      <c r="O34" s="13" t="s">
        <v>42</v>
      </c>
    </row>
    <row r="35" spans="2:16">
      <c r="B35" t="s">
        <v>8</v>
      </c>
      <c r="J35" s="46">
        <f>J8</f>
        <v>17323</v>
      </c>
      <c r="K35" s="3">
        <f>J35*(1+K36)</f>
        <v>17669.46</v>
      </c>
      <c r="L35" s="3">
        <f>K35*(1+L36)</f>
        <v>18022.849200000001</v>
      </c>
      <c r="M35" s="3">
        <f t="shared" ref="M35:O35" si="0">L35*(1+M36)</f>
        <v>18383.306184000001</v>
      </c>
      <c r="N35" s="3">
        <f t="shared" si="0"/>
        <v>18750.97230768</v>
      </c>
      <c r="O35" s="3">
        <f t="shared" si="0"/>
        <v>19125.991753833601</v>
      </c>
    </row>
    <row r="36" spans="2:16" ht="14.5" customHeight="1">
      <c r="B36" s="5" t="s">
        <v>53</v>
      </c>
      <c r="J36" s="47"/>
      <c r="K36" s="43">
        <f>$J$15</f>
        <v>0.02</v>
      </c>
      <c r="L36" s="43">
        <f t="shared" ref="L36:O36" si="1">$J$15</f>
        <v>0.02</v>
      </c>
      <c r="M36" s="43">
        <f t="shared" si="1"/>
        <v>0.02</v>
      </c>
      <c r="N36" s="43">
        <f t="shared" si="1"/>
        <v>0.02</v>
      </c>
      <c r="O36" s="43">
        <f t="shared" si="1"/>
        <v>0.02</v>
      </c>
    </row>
    <row r="37" spans="2:16">
      <c r="J37" s="47"/>
    </row>
    <row r="38" spans="2:16" ht="14.5" customHeight="1">
      <c r="B38" s="38" t="s">
        <v>10</v>
      </c>
      <c r="J38" s="46">
        <f>J9</f>
        <v>747.8</v>
      </c>
      <c r="K38" s="38">
        <f>K39*K35</f>
        <v>762.75599999999997</v>
      </c>
      <c r="L38" s="38">
        <f t="shared" ref="L38:O38" si="2">L39*L35</f>
        <v>778.01112000000001</v>
      </c>
      <c r="M38" s="38">
        <f t="shared" si="2"/>
        <v>793.57134240000005</v>
      </c>
      <c r="N38" s="38">
        <f t="shared" si="2"/>
        <v>809.44276924799999</v>
      </c>
      <c r="O38" s="38">
        <f t="shared" si="2"/>
        <v>825.63162463295998</v>
      </c>
    </row>
    <row r="39" spans="2:16">
      <c r="B39" s="5" t="s">
        <v>43</v>
      </c>
      <c r="J39" s="48">
        <f>J38/J35</f>
        <v>4.3168042486867168E-2</v>
      </c>
      <c r="K39" s="39">
        <f>J39+$J$16</f>
        <v>4.3168042486867168E-2</v>
      </c>
      <c r="L39" s="39">
        <f t="shared" ref="L39:O39" si="3">K39+$J$16</f>
        <v>4.3168042486867168E-2</v>
      </c>
      <c r="M39" s="39">
        <f t="shared" si="3"/>
        <v>4.3168042486867168E-2</v>
      </c>
      <c r="N39" s="39">
        <f t="shared" si="3"/>
        <v>4.3168042486867168E-2</v>
      </c>
      <c r="O39" s="39">
        <f t="shared" si="3"/>
        <v>4.3168042486867168E-2</v>
      </c>
    </row>
    <row r="40" spans="2:16">
      <c r="J40" s="47"/>
    </row>
    <row r="41" spans="2:16">
      <c r="B41" t="s">
        <v>44</v>
      </c>
      <c r="J41" s="49">
        <f>J38-J56</f>
        <v>507.79999999999995</v>
      </c>
      <c r="K41" s="45">
        <f t="shared" ref="K41:P41" si="4">K38-K56</f>
        <v>517.95600000000002</v>
      </c>
      <c r="L41" s="45">
        <f t="shared" si="4"/>
        <v>528.31511999999998</v>
      </c>
      <c r="M41" s="45">
        <f t="shared" si="4"/>
        <v>538.88142240000002</v>
      </c>
      <c r="N41" s="45">
        <f t="shared" si="4"/>
        <v>549.65905084799999</v>
      </c>
      <c r="O41" s="45">
        <f t="shared" si="4"/>
        <v>560.65223186495996</v>
      </c>
      <c r="P41" s="45"/>
    </row>
    <row r="42" spans="2:16">
      <c r="B42" s="5" t="s">
        <v>43</v>
      </c>
      <c r="J42" s="48">
        <f>J41/J35</f>
        <v>2.9313629278993242E-2</v>
      </c>
      <c r="K42" s="44">
        <f t="shared" ref="K42:P42" si="5">K41/K35</f>
        <v>2.9313629278993249E-2</v>
      </c>
      <c r="L42" s="44">
        <f t="shared" si="5"/>
        <v>2.9313629278993242E-2</v>
      </c>
      <c r="M42" s="44">
        <f t="shared" si="5"/>
        <v>2.9313629278993246E-2</v>
      </c>
      <c r="N42" s="44">
        <f t="shared" si="5"/>
        <v>2.9313629278993246E-2</v>
      </c>
      <c r="O42" s="44">
        <f t="shared" si="5"/>
        <v>2.9313629278993242E-2</v>
      </c>
      <c r="P42" s="44"/>
    </row>
    <row r="43" spans="2:16">
      <c r="B43" s="5"/>
      <c r="J43" s="48"/>
      <c r="K43" s="44"/>
      <c r="L43" s="44"/>
      <c r="M43" s="44"/>
      <c r="N43" s="44"/>
      <c r="O43" s="44"/>
    </row>
    <row r="44" spans="2:16">
      <c r="B44" t="s">
        <v>45</v>
      </c>
      <c r="J44" s="47"/>
      <c r="K44" s="72">
        <f t="shared" ref="K44:P44" si="6">K91</f>
        <v>231.81799999999998</v>
      </c>
      <c r="L44" s="72">
        <f t="shared" si="6"/>
        <v>210.46299499999998</v>
      </c>
      <c r="M44" s="72">
        <f t="shared" si="6"/>
        <v>187.31634323749998</v>
      </c>
      <c r="N44" s="72">
        <f t="shared" si="6"/>
        <v>162.27057307746873</v>
      </c>
      <c r="O44" s="72">
        <f t="shared" si="6"/>
        <v>135.21230242043583</v>
      </c>
      <c r="P44" s="81"/>
    </row>
    <row r="45" spans="2:16">
      <c r="J45" s="46"/>
      <c r="K45" s="38"/>
      <c r="L45" s="38"/>
      <c r="M45" s="38"/>
      <c r="N45" s="38"/>
      <c r="O45" s="38"/>
    </row>
    <row r="46" spans="2:16">
      <c r="B46" t="s">
        <v>46</v>
      </c>
      <c r="J46" s="50"/>
      <c r="K46" s="38">
        <f t="shared" ref="K46:P46" si="7">K41-K44</f>
        <v>286.13800000000003</v>
      </c>
      <c r="L46" s="38">
        <f t="shared" si="7"/>
        <v>317.852125</v>
      </c>
      <c r="M46" s="38">
        <f t="shared" si="7"/>
        <v>351.56507916250007</v>
      </c>
      <c r="N46" s="38">
        <f t="shared" si="7"/>
        <v>387.38847777053127</v>
      </c>
      <c r="O46" s="38">
        <f t="shared" si="7"/>
        <v>425.43992944452413</v>
      </c>
      <c r="P46" s="38"/>
    </row>
    <row r="47" spans="2:16">
      <c r="B47" s="5" t="s">
        <v>43</v>
      </c>
      <c r="J47" s="51"/>
      <c r="K47" s="43">
        <f t="shared" ref="K47:P47" si="8">K46/K35</f>
        <v>1.6193930091808129E-2</v>
      </c>
      <c r="L47" s="43">
        <f t="shared" si="8"/>
        <v>1.7636064169032718E-2</v>
      </c>
      <c r="M47" s="43">
        <f t="shared" si="8"/>
        <v>1.9124148596757116E-2</v>
      </c>
      <c r="N47" s="43">
        <f t="shared" si="8"/>
        <v>2.0659647479286457E-2</v>
      </c>
      <c r="O47" s="43">
        <f t="shared" si="8"/>
        <v>2.2244071571308151E-2</v>
      </c>
      <c r="P47" s="43"/>
    </row>
    <row r="48" spans="2:16">
      <c r="J48" s="50"/>
      <c r="K48" s="38"/>
      <c r="L48" s="38"/>
      <c r="M48" s="38"/>
      <c r="N48" s="38"/>
      <c r="O48" s="38"/>
    </row>
    <row r="49" spans="1:16">
      <c r="B49" t="s">
        <v>47</v>
      </c>
      <c r="J49" s="46"/>
      <c r="K49" s="45">
        <f t="shared" ref="K49:P49" si="9">K50*K46</f>
        <v>71.534500000000008</v>
      </c>
      <c r="L49" s="45">
        <f t="shared" si="9"/>
        <v>79.46303125</v>
      </c>
      <c r="M49" s="45">
        <f t="shared" si="9"/>
        <v>87.891269790625017</v>
      </c>
      <c r="N49" s="45">
        <f t="shared" si="9"/>
        <v>96.847119442632817</v>
      </c>
      <c r="O49" s="45">
        <f t="shared" si="9"/>
        <v>106.35998236113103</v>
      </c>
      <c r="P49" s="45"/>
    </row>
    <row r="50" spans="1:16">
      <c r="B50" s="5" t="s">
        <v>48</v>
      </c>
      <c r="J50" s="51"/>
      <c r="K50" s="43">
        <f t="shared" ref="K50:P50" si="10">$J$17</f>
        <v>0.25</v>
      </c>
      <c r="L50" s="43">
        <f t="shared" si="10"/>
        <v>0.25</v>
      </c>
      <c r="M50" s="43">
        <f t="shared" si="10"/>
        <v>0.25</v>
      </c>
      <c r="N50" s="43">
        <f t="shared" si="10"/>
        <v>0.25</v>
      </c>
      <c r="O50" s="43">
        <f t="shared" si="10"/>
        <v>0.25</v>
      </c>
      <c r="P50" s="43"/>
    </row>
    <row r="51" spans="1:16">
      <c r="B51" s="5"/>
      <c r="J51" s="51"/>
      <c r="K51" s="43"/>
      <c r="L51" s="43"/>
      <c r="M51" s="43"/>
      <c r="N51" s="43"/>
      <c r="O51" s="43"/>
    </row>
    <row r="52" spans="1:16">
      <c r="B52" t="s">
        <v>49</v>
      </c>
      <c r="J52" s="50"/>
      <c r="K52" s="38">
        <f t="shared" ref="K52:P52" si="11">K46-K49</f>
        <v>214.60350000000003</v>
      </c>
      <c r="L52" s="38">
        <f t="shared" si="11"/>
        <v>238.38909375</v>
      </c>
      <c r="M52" s="38">
        <f t="shared" si="11"/>
        <v>263.67380937187505</v>
      </c>
      <c r="N52" s="38">
        <f t="shared" si="11"/>
        <v>290.54135832789848</v>
      </c>
      <c r="O52" s="38">
        <f t="shared" si="11"/>
        <v>319.07994708339311</v>
      </c>
      <c r="P52" s="38"/>
    </row>
    <row r="53" spans="1:16">
      <c r="B53" s="5" t="s">
        <v>43</v>
      </c>
      <c r="J53" s="51"/>
      <c r="K53" s="44">
        <f t="shared" ref="K53:P53" si="12">K52/K35</f>
        <v>1.2145447568856096E-2</v>
      </c>
      <c r="L53" s="44">
        <f t="shared" si="12"/>
        <v>1.3227048126774539E-2</v>
      </c>
      <c r="M53" s="44">
        <f t="shared" si="12"/>
        <v>1.4343111447567839E-2</v>
      </c>
      <c r="N53" s="44">
        <f t="shared" si="12"/>
        <v>1.5494735609464844E-2</v>
      </c>
      <c r="O53" s="44">
        <f t="shared" si="12"/>
        <v>1.6683053678481115E-2</v>
      </c>
      <c r="P53" s="44"/>
    </row>
    <row r="54" spans="1:16">
      <c r="B54" s="5"/>
      <c r="J54" s="47"/>
    </row>
    <row r="55" spans="1:16">
      <c r="A55" s="10" t="s">
        <v>52</v>
      </c>
      <c r="B55" s="7" t="s">
        <v>54</v>
      </c>
      <c r="C55" s="7"/>
      <c r="D55" s="7"/>
      <c r="E55" s="7"/>
      <c r="F55" s="7"/>
      <c r="G55" s="7"/>
      <c r="H55" s="7"/>
      <c r="I55" s="7"/>
      <c r="J55" s="13" t="s">
        <v>37</v>
      </c>
      <c r="K55" s="13" t="s">
        <v>38</v>
      </c>
      <c r="L55" s="13" t="s">
        <v>39</v>
      </c>
      <c r="M55" s="13" t="s">
        <v>40</v>
      </c>
      <c r="N55" s="13" t="s">
        <v>41</v>
      </c>
      <c r="O55" s="13" t="s">
        <v>42</v>
      </c>
    </row>
    <row r="56" spans="1:16">
      <c r="B56" t="s">
        <v>12</v>
      </c>
      <c r="J56" s="46">
        <f>J10</f>
        <v>240</v>
      </c>
      <c r="K56" s="38">
        <f t="shared" ref="K56:P56" si="13">K57*K35</f>
        <v>244.79999999999998</v>
      </c>
      <c r="L56" s="38">
        <f t="shared" si="13"/>
        <v>249.696</v>
      </c>
      <c r="M56" s="38">
        <f t="shared" si="13"/>
        <v>254.68992</v>
      </c>
      <c r="N56" s="38">
        <f t="shared" si="13"/>
        <v>259.7837184</v>
      </c>
      <c r="O56" s="38">
        <f t="shared" si="13"/>
        <v>264.97939276800003</v>
      </c>
      <c r="P56" s="38"/>
    </row>
    <row r="57" spans="1:16">
      <c r="B57" s="5" t="s">
        <v>43</v>
      </c>
      <c r="J57" s="48">
        <f>J56/J35</f>
        <v>1.3854413207873924E-2</v>
      </c>
      <c r="K57" s="43">
        <v>1.3854413207873924E-2</v>
      </c>
      <c r="L57" s="43">
        <v>1.3854413207873924E-2</v>
      </c>
      <c r="M57" s="43">
        <v>1.3854413207873924E-2</v>
      </c>
      <c r="N57" s="43">
        <v>1.3854413207873924E-2</v>
      </c>
      <c r="O57" s="43">
        <v>1.3854413207873924E-2</v>
      </c>
    </row>
    <row r="58" spans="1:16">
      <c r="B58" s="5"/>
      <c r="J58" s="47"/>
    </row>
    <row r="59" spans="1:16">
      <c r="B59" t="s">
        <v>50</v>
      </c>
      <c r="J59" s="80">
        <f>J12</f>
        <v>143.1</v>
      </c>
      <c r="K59" s="38">
        <f t="shared" ref="K59:P59" si="14">K60*K35</f>
        <v>145.96200000000002</v>
      </c>
      <c r="L59" s="38">
        <f t="shared" si="14"/>
        <v>148.88124000000005</v>
      </c>
      <c r="M59" s="38">
        <f t="shared" si="14"/>
        <v>151.85886480000005</v>
      </c>
      <c r="N59" s="38">
        <f t="shared" si="14"/>
        <v>154.89604209600003</v>
      </c>
      <c r="O59" s="38">
        <f t="shared" si="14"/>
        <v>157.99396293792003</v>
      </c>
      <c r="P59" s="38"/>
    </row>
    <row r="60" spans="1:16">
      <c r="B60" s="5" t="s">
        <v>43</v>
      </c>
      <c r="J60" s="53">
        <f>J59/J35</f>
        <v>8.2606938751948276E-3</v>
      </c>
      <c r="K60" s="43">
        <v>8.2606938751948293E-3</v>
      </c>
      <c r="L60" s="43">
        <v>8.2606938751948293E-3</v>
      </c>
      <c r="M60" s="43">
        <v>8.2606938751948293E-3</v>
      </c>
      <c r="N60" s="43">
        <v>8.2606938751948293E-3</v>
      </c>
      <c r="O60" s="43">
        <v>8.2606938751948293E-3</v>
      </c>
      <c r="P60" s="43"/>
    </row>
    <row r="61" spans="1:16">
      <c r="B61" t="s">
        <v>57</v>
      </c>
      <c r="J61" s="53"/>
      <c r="K61" s="38">
        <f t="shared" ref="K61:P61" si="15">K59-J59</f>
        <v>2.8620000000000232</v>
      </c>
      <c r="L61" s="38">
        <f t="shared" si="15"/>
        <v>2.9192400000000305</v>
      </c>
      <c r="M61" s="38">
        <f t="shared" si="15"/>
        <v>2.977624800000001</v>
      </c>
      <c r="N61" s="38">
        <f t="shared" si="15"/>
        <v>3.0371772959999817</v>
      </c>
      <c r="O61" s="38">
        <f t="shared" si="15"/>
        <v>3.0979208419200006</v>
      </c>
      <c r="P61" s="38"/>
    </row>
    <row r="62" spans="1:16">
      <c r="B62" s="5"/>
      <c r="J62" s="47"/>
      <c r="K62" s="38"/>
      <c r="L62" s="38"/>
      <c r="M62" s="38"/>
      <c r="N62" s="38"/>
      <c r="O62" s="38"/>
    </row>
    <row r="63" spans="1:16">
      <c r="B63" t="s">
        <v>55</v>
      </c>
      <c r="J63" s="52">
        <f>J11</f>
        <v>148.5</v>
      </c>
      <c r="K63" s="38">
        <f t="shared" ref="K63:P63" si="16">K64*K35</f>
        <v>151.46999999999997</v>
      </c>
      <c r="L63" s="38">
        <f t="shared" si="16"/>
        <v>154.49939999999998</v>
      </c>
      <c r="M63" s="38">
        <f t="shared" si="16"/>
        <v>157.58938799999999</v>
      </c>
      <c r="N63" s="38">
        <f t="shared" si="16"/>
        <v>160.74117575999998</v>
      </c>
      <c r="O63" s="38">
        <f t="shared" si="16"/>
        <v>163.95599927519999</v>
      </c>
      <c r="P63" s="38"/>
    </row>
    <row r="64" spans="1:16">
      <c r="B64" s="5" t="s">
        <v>43</v>
      </c>
      <c r="J64" s="53">
        <f>J63/J35</f>
        <v>8.5724181723719917E-3</v>
      </c>
      <c r="K64" s="43">
        <v>8.57241817237199E-3</v>
      </c>
      <c r="L64" s="43">
        <v>8.57241817237199E-3</v>
      </c>
      <c r="M64" s="43">
        <v>8.57241817237199E-3</v>
      </c>
      <c r="N64" s="43">
        <v>8.57241817237199E-3</v>
      </c>
      <c r="O64" s="43">
        <v>8.57241817237199E-3</v>
      </c>
      <c r="P64" s="43"/>
    </row>
    <row r="65" spans="1:16" collapsed="1">
      <c r="C65" s="5"/>
      <c r="J65" s="47"/>
    </row>
    <row r="66" spans="1:16">
      <c r="A66" s="10" t="s">
        <v>52</v>
      </c>
      <c r="B66" s="7" t="s">
        <v>51</v>
      </c>
      <c r="C66" s="7"/>
      <c r="D66" s="7"/>
      <c r="E66" s="7"/>
      <c r="F66" s="7"/>
      <c r="G66" s="7"/>
      <c r="H66" s="7"/>
      <c r="I66" s="7"/>
      <c r="J66" s="13" t="s">
        <v>37</v>
      </c>
      <c r="K66" s="13" t="s">
        <v>38</v>
      </c>
      <c r="L66" s="13" t="s">
        <v>39</v>
      </c>
      <c r="M66" s="13" t="s">
        <v>40</v>
      </c>
      <c r="N66" s="13" t="s">
        <v>41</v>
      </c>
      <c r="O66" s="13" t="s">
        <v>42</v>
      </c>
    </row>
    <row r="67" spans="1:16">
      <c r="B67" t="s">
        <v>49</v>
      </c>
      <c r="J67" s="47"/>
      <c r="K67" s="56">
        <f t="shared" ref="K67:P67" si="17">K52</f>
        <v>214.60350000000003</v>
      </c>
      <c r="L67" s="56">
        <f t="shared" si="17"/>
        <v>238.38909375</v>
      </c>
      <c r="M67" s="56">
        <f t="shared" si="17"/>
        <v>263.67380937187505</v>
      </c>
      <c r="N67" s="56">
        <f t="shared" si="17"/>
        <v>290.54135832789848</v>
      </c>
      <c r="O67" s="56">
        <f t="shared" si="17"/>
        <v>319.07994708339311</v>
      </c>
      <c r="P67" s="56"/>
    </row>
    <row r="68" spans="1:16">
      <c r="B68" t="s">
        <v>12</v>
      </c>
      <c r="J68" s="47"/>
      <c r="K68" s="56">
        <f t="shared" ref="K68:P68" si="18">K56</f>
        <v>244.79999999999998</v>
      </c>
      <c r="L68" s="56">
        <f t="shared" si="18"/>
        <v>249.696</v>
      </c>
      <c r="M68" s="56">
        <f t="shared" si="18"/>
        <v>254.68992</v>
      </c>
      <c r="N68" s="56">
        <f t="shared" si="18"/>
        <v>259.7837184</v>
      </c>
      <c r="O68" s="56">
        <f t="shared" si="18"/>
        <v>264.97939276800003</v>
      </c>
      <c r="P68" s="56"/>
    </row>
    <row r="69" spans="1:16">
      <c r="B69" t="s">
        <v>55</v>
      </c>
      <c r="J69" s="47"/>
      <c r="K69" s="56">
        <f t="shared" ref="K69:P69" si="19">K63</f>
        <v>151.46999999999997</v>
      </c>
      <c r="L69" s="56">
        <f t="shared" si="19"/>
        <v>154.49939999999998</v>
      </c>
      <c r="M69" s="56">
        <f t="shared" si="19"/>
        <v>157.58938799999999</v>
      </c>
      <c r="N69" s="56">
        <f t="shared" si="19"/>
        <v>160.74117575999998</v>
      </c>
      <c r="O69" s="56">
        <f t="shared" si="19"/>
        <v>163.95599927519999</v>
      </c>
      <c r="P69" s="56"/>
    </row>
    <row r="70" spans="1:16">
      <c r="B70" s="1" t="s">
        <v>56</v>
      </c>
      <c r="C70" s="1"/>
      <c r="D70" s="1"/>
      <c r="E70" s="1"/>
      <c r="F70" s="1"/>
      <c r="G70" s="1"/>
      <c r="H70" s="1"/>
      <c r="I70" s="1"/>
      <c r="J70" s="54"/>
      <c r="K70" s="57">
        <f t="shared" ref="K70:P70" si="20">K61</f>
        <v>2.8620000000000232</v>
      </c>
      <c r="L70" s="57">
        <f t="shared" si="20"/>
        <v>2.9192400000000305</v>
      </c>
      <c r="M70" s="57">
        <f t="shared" si="20"/>
        <v>2.977624800000001</v>
      </c>
      <c r="N70" s="57">
        <f t="shared" si="20"/>
        <v>3.0371772959999817</v>
      </c>
      <c r="O70" s="57">
        <f t="shared" si="20"/>
        <v>3.0979208419200006</v>
      </c>
      <c r="P70" s="57"/>
    </row>
    <row r="71" spans="1:16">
      <c r="B71" s="33" t="s">
        <v>51</v>
      </c>
      <c r="C71" s="34"/>
      <c r="D71" s="34"/>
      <c r="E71" s="34"/>
      <c r="F71" s="34"/>
      <c r="G71" s="34"/>
      <c r="H71" s="34"/>
      <c r="I71" s="34"/>
      <c r="J71" s="58"/>
      <c r="K71" s="59">
        <f t="shared" ref="K71:P71" si="21">K67+K68-K69-K70</f>
        <v>305.07150000000001</v>
      </c>
      <c r="L71" s="59">
        <f t="shared" si="21"/>
        <v>330.66645374999996</v>
      </c>
      <c r="M71" s="59">
        <f t="shared" si="21"/>
        <v>357.79671657187504</v>
      </c>
      <c r="N71" s="59">
        <f t="shared" si="21"/>
        <v>386.54672367189852</v>
      </c>
      <c r="O71" s="59">
        <f t="shared" si="21"/>
        <v>417.00541973427312</v>
      </c>
      <c r="P71" s="59"/>
    </row>
    <row r="74" spans="1:16">
      <c r="A74" s="10" t="s">
        <v>52</v>
      </c>
      <c r="B74" s="14" t="s">
        <v>58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6" ht="3" customHeight="1"/>
    <row r="76" spans="1:16">
      <c r="B76" s="7"/>
      <c r="C76" s="7"/>
      <c r="D76" s="7"/>
      <c r="E76" s="7"/>
      <c r="F76" s="7"/>
      <c r="G76" s="7"/>
      <c r="H76" s="7"/>
      <c r="I76" s="7"/>
      <c r="J76" s="13" t="s">
        <v>37</v>
      </c>
      <c r="K76" s="13" t="s">
        <v>38</v>
      </c>
      <c r="L76" s="13" t="s">
        <v>39</v>
      </c>
      <c r="M76" s="13" t="s">
        <v>40</v>
      </c>
      <c r="N76" s="13" t="s">
        <v>41</v>
      </c>
      <c r="O76" s="13" t="s">
        <v>42</v>
      </c>
    </row>
    <row r="77" spans="1:16">
      <c r="B77" s="8" t="s">
        <v>4</v>
      </c>
      <c r="J77" s="47"/>
    </row>
    <row r="78" spans="1:16">
      <c r="B78" t="s">
        <v>61</v>
      </c>
      <c r="D78" s="38"/>
      <c r="E78" s="38"/>
      <c r="F78" s="38"/>
      <c r="G78" s="38"/>
      <c r="H78" s="38"/>
      <c r="J78" s="47"/>
      <c r="K78" s="29">
        <f>J81</f>
        <v>2243.3999999999996</v>
      </c>
      <c r="L78" s="29">
        <f t="shared" ref="L78:O78" si="22">K81</f>
        <v>1938.3284999999996</v>
      </c>
      <c r="M78" s="29">
        <f t="shared" si="22"/>
        <v>1607.6620462499995</v>
      </c>
      <c r="N78" s="29">
        <f t="shared" si="22"/>
        <v>1249.8653296781245</v>
      </c>
      <c r="O78" s="29">
        <f t="shared" si="22"/>
        <v>863.31860600622599</v>
      </c>
    </row>
    <row r="79" spans="1:16">
      <c r="B79" t="s">
        <v>59</v>
      </c>
      <c r="D79" s="38"/>
      <c r="E79" s="38"/>
      <c r="F79" s="38"/>
      <c r="G79" s="38"/>
      <c r="H79" s="38"/>
      <c r="J79" s="47"/>
      <c r="K79" s="45">
        <f>K78*$O$7</f>
        <v>157.03799999999998</v>
      </c>
      <c r="L79" s="45">
        <f t="shared" ref="L79:O79" si="23">L78*$O$7</f>
        <v>135.68299499999998</v>
      </c>
      <c r="M79" s="45">
        <f t="shared" si="23"/>
        <v>112.53634323749998</v>
      </c>
      <c r="N79" s="45">
        <f t="shared" si="23"/>
        <v>87.490573077468724</v>
      </c>
      <c r="O79" s="45">
        <f t="shared" si="23"/>
        <v>60.432302420435825</v>
      </c>
    </row>
    <row r="80" spans="1:16">
      <c r="B80" s="1" t="s">
        <v>60</v>
      </c>
      <c r="C80" s="1"/>
      <c r="D80" s="40"/>
      <c r="E80" s="40"/>
      <c r="F80" s="40"/>
      <c r="G80" s="40"/>
      <c r="H80" s="40"/>
      <c r="I80" s="1"/>
      <c r="J80" s="54"/>
      <c r="K80" s="40">
        <f>MIN(K71,K78)</f>
        <v>305.07150000000001</v>
      </c>
      <c r="L80" s="40">
        <f t="shared" ref="L80:O80" si="24">MIN(L71,L78)</f>
        <v>330.66645374999996</v>
      </c>
      <c r="M80" s="40">
        <f t="shared" si="24"/>
        <v>357.79671657187504</v>
      </c>
      <c r="N80" s="40">
        <f t="shared" si="24"/>
        <v>386.54672367189852</v>
      </c>
      <c r="O80" s="40">
        <f t="shared" si="24"/>
        <v>417.00541973427312</v>
      </c>
    </row>
    <row r="81" spans="1:16">
      <c r="B81" s="8" t="s">
        <v>62</v>
      </c>
      <c r="C81" s="8"/>
      <c r="D81" s="55"/>
      <c r="E81" s="55"/>
      <c r="F81" s="55"/>
      <c r="G81" s="55"/>
      <c r="H81" s="55"/>
      <c r="I81" s="8"/>
      <c r="J81" s="61">
        <f>E23</f>
        <v>2243.3999999999996</v>
      </c>
      <c r="K81" s="55">
        <f>K78-K80</f>
        <v>1938.3284999999996</v>
      </c>
      <c r="L81" s="55">
        <f t="shared" ref="L81:O81" si="25">L78-L80</f>
        <v>1607.6620462499995</v>
      </c>
      <c r="M81" s="55">
        <f t="shared" si="25"/>
        <v>1249.8653296781245</v>
      </c>
      <c r="N81" s="55">
        <f t="shared" si="25"/>
        <v>863.31860600622599</v>
      </c>
      <c r="O81" s="55">
        <f>O78-O80</f>
        <v>446.31318627195287</v>
      </c>
    </row>
    <row r="82" spans="1:16">
      <c r="J82" s="47"/>
    </row>
    <row r="83" spans="1:16">
      <c r="B83" s="8" t="s">
        <v>5</v>
      </c>
      <c r="J83" s="47"/>
    </row>
    <row r="84" spans="1:16">
      <c r="B84" t="s">
        <v>61</v>
      </c>
      <c r="D84" s="38"/>
      <c r="E84" s="38"/>
      <c r="F84" s="38"/>
      <c r="G84" s="38"/>
      <c r="H84" s="38"/>
      <c r="J84" s="47"/>
      <c r="K84" s="29">
        <f t="shared" ref="K84:P84" si="26">J87</f>
        <v>747.8</v>
      </c>
      <c r="L84" s="29">
        <f t="shared" si="26"/>
        <v>747.8</v>
      </c>
      <c r="M84" s="29">
        <f t="shared" si="26"/>
        <v>747.8</v>
      </c>
      <c r="N84" s="29">
        <f t="shared" si="26"/>
        <v>747.8</v>
      </c>
      <c r="O84" s="29">
        <f t="shared" si="26"/>
        <v>747.8</v>
      </c>
      <c r="P84" s="29"/>
    </row>
    <row r="85" spans="1:16">
      <c r="B85" t="s">
        <v>59</v>
      </c>
      <c r="D85" s="38"/>
      <c r="E85" s="38"/>
      <c r="F85" s="38"/>
      <c r="G85" s="38"/>
      <c r="H85" s="38"/>
      <c r="J85" s="47"/>
      <c r="K85" s="45">
        <f t="shared" ref="K85:O85" si="27">K84*$O$8</f>
        <v>74.78</v>
      </c>
      <c r="L85" s="45">
        <f t="shared" si="27"/>
        <v>74.78</v>
      </c>
      <c r="M85" s="45">
        <f t="shared" si="27"/>
        <v>74.78</v>
      </c>
      <c r="N85" s="45">
        <f t="shared" si="27"/>
        <v>74.78</v>
      </c>
      <c r="O85" s="45">
        <f t="shared" si="27"/>
        <v>74.78</v>
      </c>
      <c r="P85" s="45"/>
    </row>
    <row r="86" spans="1:16">
      <c r="B86" t="s">
        <v>60</v>
      </c>
      <c r="D86" s="3"/>
      <c r="E86" s="3"/>
      <c r="F86" s="3"/>
      <c r="G86" s="3"/>
      <c r="H86" s="3"/>
      <c r="J86" s="54"/>
      <c r="K86" s="62">
        <f t="shared" ref="K86:P86" si="28">MIN(K71,K71-K80)</f>
        <v>0</v>
      </c>
      <c r="L86" s="62">
        <f t="shared" si="28"/>
        <v>0</v>
      </c>
      <c r="M86" s="62">
        <f t="shared" si="28"/>
        <v>0</v>
      </c>
      <c r="N86" s="62">
        <f t="shared" si="28"/>
        <v>0</v>
      </c>
      <c r="O86" s="62">
        <f t="shared" si="28"/>
        <v>0</v>
      </c>
      <c r="P86" s="62"/>
    </row>
    <row r="87" spans="1:16">
      <c r="B87" t="s">
        <v>62</v>
      </c>
      <c r="D87" s="38"/>
      <c r="E87" s="38"/>
      <c r="F87" s="38"/>
      <c r="G87" s="38"/>
      <c r="H87" s="38"/>
      <c r="J87" s="61">
        <f>E24</f>
        <v>747.8</v>
      </c>
      <c r="K87" s="55">
        <f t="shared" ref="K87:P87" si="29">K84-K86</f>
        <v>747.8</v>
      </c>
      <c r="L87" s="55">
        <f t="shared" si="29"/>
        <v>747.8</v>
      </c>
      <c r="M87" s="55">
        <f t="shared" si="29"/>
        <v>747.8</v>
      </c>
      <c r="N87" s="55">
        <f t="shared" si="29"/>
        <v>747.8</v>
      </c>
      <c r="O87" s="55">
        <f t="shared" si="29"/>
        <v>747.8</v>
      </c>
      <c r="P87" s="55"/>
    </row>
    <row r="88" spans="1:16">
      <c r="J88" s="47"/>
    </row>
    <row r="89" spans="1:16">
      <c r="B89" s="8" t="s">
        <v>29</v>
      </c>
      <c r="J89" s="47"/>
    </row>
    <row r="90" spans="1:16">
      <c r="B90" t="s">
        <v>61</v>
      </c>
      <c r="D90" s="38"/>
      <c r="E90" s="38"/>
      <c r="F90" s="38"/>
      <c r="G90" s="38"/>
      <c r="H90" s="38"/>
      <c r="J90" s="73"/>
      <c r="K90" s="45">
        <f t="shared" ref="K90:P90" si="30">K78+K84</f>
        <v>2991.2</v>
      </c>
      <c r="L90" s="45">
        <f t="shared" si="30"/>
        <v>2686.1284999999998</v>
      </c>
      <c r="M90" s="45">
        <f t="shared" si="30"/>
        <v>2355.4620462499997</v>
      </c>
      <c r="N90" s="45">
        <f t="shared" si="30"/>
        <v>1997.6653296781244</v>
      </c>
      <c r="O90" s="45">
        <f t="shared" si="30"/>
        <v>1611.1186060062259</v>
      </c>
      <c r="P90" s="45"/>
    </row>
    <row r="91" spans="1:16">
      <c r="B91" t="s">
        <v>59</v>
      </c>
      <c r="D91" s="38"/>
      <c r="E91" s="38"/>
      <c r="F91" s="38"/>
      <c r="G91" s="38"/>
      <c r="H91" s="38"/>
      <c r="J91" s="73"/>
      <c r="K91" s="45">
        <f t="shared" ref="K91:P91" si="31">K85+K79</f>
        <v>231.81799999999998</v>
      </c>
      <c r="L91" s="45">
        <f t="shared" si="31"/>
        <v>210.46299499999998</v>
      </c>
      <c r="M91" s="45">
        <f t="shared" si="31"/>
        <v>187.31634323749998</v>
      </c>
      <c r="N91" s="45">
        <f t="shared" si="31"/>
        <v>162.27057307746873</v>
      </c>
      <c r="O91" s="45">
        <f t="shared" si="31"/>
        <v>135.21230242043583</v>
      </c>
      <c r="P91" s="45"/>
    </row>
    <row r="92" spans="1:16">
      <c r="B92" t="s">
        <v>60</v>
      </c>
      <c r="D92" s="38"/>
      <c r="E92" s="38"/>
      <c r="F92" s="38"/>
      <c r="G92" s="38"/>
      <c r="H92" s="38"/>
      <c r="J92" s="74"/>
      <c r="K92" s="75">
        <f t="shared" ref="K92:P92" si="32">K86+K80</f>
        <v>305.07150000000001</v>
      </c>
      <c r="L92" s="75">
        <f t="shared" si="32"/>
        <v>330.66645374999996</v>
      </c>
      <c r="M92" s="75">
        <f t="shared" si="32"/>
        <v>357.79671657187504</v>
      </c>
      <c r="N92" s="75">
        <f t="shared" si="32"/>
        <v>386.54672367189852</v>
      </c>
      <c r="O92" s="75">
        <f t="shared" si="32"/>
        <v>417.00541973427312</v>
      </c>
      <c r="P92" s="75"/>
    </row>
    <row r="93" spans="1:16">
      <c r="B93" t="s">
        <v>62</v>
      </c>
      <c r="D93" s="38"/>
      <c r="E93" s="38"/>
      <c r="F93" s="38"/>
      <c r="G93" s="38"/>
      <c r="H93" s="38"/>
      <c r="J93" s="76">
        <f>J81+J87</f>
        <v>2991.2</v>
      </c>
      <c r="K93" s="17">
        <f t="shared" ref="K93:P93" si="33">K87+K81</f>
        <v>2686.1284999999998</v>
      </c>
      <c r="L93" s="17">
        <f t="shared" si="33"/>
        <v>2355.4620462499997</v>
      </c>
      <c r="M93" s="17">
        <f t="shared" si="33"/>
        <v>1997.6653296781244</v>
      </c>
      <c r="N93" s="17">
        <f t="shared" si="33"/>
        <v>1611.1186060062259</v>
      </c>
      <c r="O93" s="17">
        <f t="shared" si="33"/>
        <v>1194.1131862719528</v>
      </c>
      <c r="P93" s="17"/>
    </row>
    <row r="95" spans="1:16">
      <c r="A95" s="10" t="s">
        <v>52</v>
      </c>
      <c r="B95" s="14" t="s">
        <v>63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6" ht="3" customHeight="1">
      <c r="D96" s="38"/>
      <c r="E96" s="38"/>
      <c r="F96" s="38"/>
      <c r="G96" s="38"/>
      <c r="H96" s="38"/>
      <c r="O96" s="29"/>
    </row>
    <row r="97" spans="1:15">
      <c r="B97" t="s">
        <v>70</v>
      </c>
      <c r="O97" s="38">
        <f>O38</f>
        <v>825.63162463295998</v>
      </c>
    </row>
    <row r="98" spans="1:15">
      <c r="B98" s="1" t="s">
        <v>64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64">
        <f>E16</f>
        <v>8</v>
      </c>
    </row>
    <row r="99" spans="1:15">
      <c r="B99" t="s">
        <v>21</v>
      </c>
      <c r="O99" s="38">
        <f>O97*O98</f>
        <v>6605.0529970636799</v>
      </c>
    </row>
    <row r="100" spans="1:15">
      <c r="B100" s="1" t="s">
        <v>68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63">
        <f>O93</f>
        <v>1194.1131862719528</v>
      </c>
    </row>
    <row r="101" spans="1:15">
      <c r="B101" s="33" t="s">
        <v>65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60">
        <f>O99-O100</f>
        <v>5410.9398107917268</v>
      </c>
    </row>
    <row r="103" spans="1:15">
      <c r="B103" t="s">
        <v>66</v>
      </c>
      <c r="O103" s="38">
        <f>E11</f>
        <v>3220.0836097000006</v>
      </c>
    </row>
    <row r="104" spans="1:15">
      <c r="O104" s="38"/>
    </row>
    <row r="105" spans="1:15">
      <c r="B105" s="65" t="s">
        <v>67</v>
      </c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7">
        <f>O101/O103</f>
        <v>1.6803724581846611</v>
      </c>
    </row>
    <row r="106" spans="1:15">
      <c r="A106" s="10" t="s">
        <v>52</v>
      </c>
      <c r="B106" s="68" t="s">
        <v>63</v>
      </c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70">
        <f>O105^(1/5)-1</f>
        <v>0.10938198946952471</v>
      </c>
    </row>
  </sheetData>
  <pageMargins left="0.7" right="0.7" top="0.75" bottom="0.75" header="0.3" footer="0.3"/>
  <pageSetup orientation="portrait" r:id="rId1"/>
  <ignoredErrors>
    <ignoredError sqref="O11" evalError="1"/>
    <ignoredError sqref="N15:N16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Brenton Lee</cp:lastModifiedBy>
  <dcterms:created xsi:type="dcterms:W3CDTF">2023-03-14T11:01:16Z</dcterms:created>
  <dcterms:modified xsi:type="dcterms:W3CDTF">2026-05-18T14:03:00Z</dcterms:modified>
</cp:coreProperties>
</file>